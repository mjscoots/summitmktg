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SPs" sheetId="1" state="visible" r:id="rId3"/>
    <sheet name="EC1 Rookie" sheetId="2" state="visible" r:id="rId4"/>
    <sheet name="EC3 Veteran" sheetId="3" state="visible" r:id="rId5"/>
    <sheet name="Rul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<sst xmlns="http://schemas.openxmlformats.org/spreadsheetml/2006/main" count="110" uniqueCount="67">
  <si>
    <t xml:space="preserve">ORG STACK BY ISP</t>
  </si>
  <si>
    <t xml:space="preserve">Yellow = edit. The last row of every ladder column is this number.</t>
  </si>
  <si>
    <t xml:space="preserve">ISP</t>
  </si>
  <si>
    <t xml:space="preserve">Org stack</t>
  </si>
  <si>
    <t xml:space="preserve">Sonic</t>
  </si>
  <si>
    <t xml:space="preserve">Brightspeed</t>
  </si>
  <si>
    <t xml:space="preserve">Fidium</t>
  </si>
  <si>
    <t xml:space="preserve">GoNetspeed CT</t>
  </si>
  <si>
    <t xml:space="preserve">Lightcurve</t>
  </si>
  <si>
    <t xml:space="preserve">Surf</t>
  </si>
  <si>
    <t xml:space="preserve">Xfinity</t>
  </si>
  <si>
    <t xml:space="preserve">Ripple</t>
  </si>
  <si>
    <t xml:space="preserve">123NET</t>
  </si>
  <si>
    <t xml:space="preserve">Astound</t>
  </si>
  <si>
    <t xml:space="preserve">ALLO</t>
  </si>
  <si>
    <t xml:space="preserve">GoNetspeed other</t>
  </si>
  <si>
    <t xml:space="preserve">NKTelco</t>
  </si>
  <si>
    <t xml:space="preserve">EC1 ROOKIE - PAY PER INSTALL BY ISP</t>
  </si>
  <si>
    <t xml:space="preserve">First sales job, no experience. Personal installs move you up to $250. From there you climb by building.</t>
  </si>
  <si>
    <t xml:space="preserve">Your tier is set at the start of each blitz from your total paid installs with Summit. You are paid that number on every install that blitz. Installs never reset. This is the floor: a leader can place a rep higher and eat the difference.</t>
  </si>
  <si>
    <t xml:space="preserve">Tier</t>
  </si>
  <si>
    <t xml:space="preserve">Pay</t>
  </si>
  <si>
    <t xml:space="preserve">How you get there</t>
  </si>
  <si>
    <t xml:space="preserve">Org stack (top of this column)</t>
  </si>
  <si>
    <t xml:space="preserve">Tier 1</t>
  </si>
  <si>
    <t xml:space="preserve">Start</t>
  </si>
  <si>
    <t xml:space="preserve">Tier 2</t>
  </si>
  <si>
    <t xml:space="preserve">50 installs</t>
  </si>
  <si>
    <t xml:space="preserve">Tier 3</t>
  </si>
  <si>
    <t xml:space="preserve">100 installs</t>
  </si>
  <si>
    <t xml:space="preserve">Tier 4</t>
  </si>
  <si>
    <t xml:space="preserve">150 installs</t>
  </si>
  <si>
    <t xml:space="preserve">Tier 5</t>
  </si>
  <si>
    <t xml:space="preserve">Team Lead: run 4+ reps, your pod does 60+ a blitz</t>
  </si>
  <si>
    <t xml:space="preserve">Tier 6</t>
  </si>
  <si>
    <t xml:space="preserve">Manager: 3 team leads, your org does 300+ a blitz</t>
  </si>
  <si>
    <t xml:space="preserve">Tier 7</t>
  </si>
  <si>
    <t xml:space="preserve">President. Private deal.</t>
  </si>
  <si>
    <t xml:space="preserve">Green rows are leader tiers. White rows are personal-production tiers. Leaders top out one tier under the org stack; the president keeps at least $25 on every rep. A blank cell means that ISP's org stack is too low for that tier.</t>
  </si>
  <si>
    <t xml:space="preserve">Leaders: your override on any rep you run is your tier pay minus his tier pay, on his installs. Nothing for reps you don't run.</t>
  </si>
  <si>
    <t xml:space="preserve">EC3 VETERAN - PAY PER INSTALL BY ISP</t>
  </si>
  <si>
    <t xml:space="preserve">Sales experience anywhere: fiber, pest, solar, alarms, life. Starts at $200. Fiber vets with a carrier or dealer statement enter at the tier their installs earn.</t>
  </si>
  <si>
    <t xml:space="preserve">Start. Fiber vets with a statement enter where their installs put them</t>
  </si>
  <si>
    <t xml:space="preserve">RULES</t>
  </si>
  <si>
    <t xml:space="preserve">Item</t>
  </si>
  <si>
    <t xml:space="preserve">Rule</t>
  </si>
  <si>
    <t xml:space="preserve">Installs</t>
  </si>
  <si>
    <t xml:space="preserve">Paid installs with Summit, across every ISP and every blitz. Cumulative. Never reset. Net of chargebacks.</t>
  </si>
  <si>
    <t xml:space="preserve">Tiers</t>
  </si>
  <si>
    <t xml:space="preserve">Set at the start of each blitz from total installs. Paid on every install that blitz. No mid-blitz changes, no retro. A tier is never lost.</t>
  </si>
  <si>
    <t xml:space="preserve">The floor</t>
  </si>
  <si>
    <t xml:space="preserve">This ladder is the minimum. A president or manager can start a rep higher or bump him early; the difference comes out of that leader's spread. Nobody is ever placed below it.</t>
  </si>
  <si>
    <t xml:space="preserve">The top of each ISP column. That row is the president. Leaders top out one tier under it, so the president keeps at least $25 on every rep.</t>
  </si>
  <si>
    <t xml:space="preserve">Leaders</t>
  </si>
  <si>
    <t xml:space="preserve">Your override on a rep you run is your tier pay minus his, on his installs. Team tiers require running the reps, not just recruiting them.</t>
  </si>
  <si>
    <t xml:space="preserve">Bring a Buddy</t>
  </si>
  <si>
    <t xml:space="preserve">Bring a guy in you do not run: $5 per install he does, starting at his 25th. Up to 5 referrals paying at once.</t>
  </si>
  <si>
    <t xml:space="preserve">Entry</t>
  </si>
  <si>
    <t xml:space="preserve">Rookie: first sales job. Veteran: sales experience anywhere. Fiber vets enter at the tier matching installs documented by a carrier or dealer statement. Word of mouth is not documentation.</t>
  </si>
  <si>
    <t xml:space="preserve">Hold</t>
  </si>
  <si>
    <t xml:space="preserve">Summit holds 10% of pay for 90 days against chargebacks, then releases it.</t>
  </si>
  <si>
    <t xml:space="preserve">Chargebacks</t>
  </si>
  <si>
    <t xml:space="preserve">A cancel inside the carrier window is charged back at the rate the rep was paid.</t>
  </si>
  <si>
    <t xml:space="preserve">Housing</t>
  </si>
  <si>
    <t xml:space="preserve">Fronted by the president, deducted from pay at one install per week. Leaders at $300 and up cover their own.</t>
  </si>
  <si>
    <t xml:space="preserve">Car</t>
  </si>
  <si>
    <t xml:space="preserve">Reps at $200 and up bring a car to market. No car and none in market: pay drops $50 per install. Rookies ride.</t>
  </si>
</sst>
</file>

<file path=xl/styles.xml><?xml version="1.0" encoding="utf-8"?>
<styleSheet xmlns="http://schemas.openxmlformats.org/spreadsheetml/2006/main">
  <numFmts count="2">
    <numFmt numFmtId="164" formatCode="General"/>
    <numFmt numFmtId="165" formatCode="\$#,##0;&quot;($&quot;#,##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color rgb="FF000000"/>
      <name val="Arial"/>
      <family val="0"/>
      <charset val="1"/>
    </font>
    <font>
      <sz val="10"/>
      <color rgb="FF0000FF"/>
      <name val="Arial"/>
      <family val="0"/>
      <charset val="1"/>
    </font>
    <font>
      <b val="true"/>
      <sz val="10"/>
      <color rgb="FF008000"/>
      <name val="Arial"/>
      <family val="0"/>
      <charset val="1"/>
    </font>
  </fonts>
  <fills count="5">
    <fill>
      <patternFill patternType="none"/>
    </fill>
    <fill>
      <patternFill patternType="gray125"/>
    </fill>
    <fill>
      <patternFill patternType="solid">
        <fgColor rgb="FFD9D9D9"/>
        <bgColor rgb="FFE2EFDA"/>
      </patternFill>
    </fill>
    <fill>
      <patternFill patternType="solid">
        <fgColor rgb="FFFFFF00"/>
        <bgColor rgb="FFFFFF00"/>
      </patternFill>
    </fill>
    <fill>
      <patternFill patternType="solid">
        <fgColor rgb="FFE2EFDA"/>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n">
        <v>375</v>
      </c>
    </row>
    <row r="6" customFormat="false" ht="15" hidden="false" customHeight="false" outlineLevel="0" collapsed="false">
      <c r="A6" s="4" t="s">
        <v>5</v>
      </c>
      <c r="B6" s="5" t="n">
        <v>375</v>
      </c>
    </row>
    <row r="7" customFormat="false" ht="15" hidden="false" customHeight="false" outlineLevel="0" collapsed="false">
      <c r="A7" s="4" t="s">
        <v>6</v>
      </c>
      <c r="B7" s="5" t="n">
        <v>375</v>
      </c>
    </row>
    <row r="8" customFormat="false" ht="15" hidden="false" customHeight="false" outlineLevel="0" collapsed="false">
      <c r="A8" s="4" t="s">
        <v>7</v>
      </c>
      <c r="B8" s="5" t="n">
        <v>375</v>
      </c>
    </row>
    <row r="9" customFormat="false" ht="15" hidden="false" customHeight="false" outlineLevel="0" collapsed="false">
      <c r="A9" s="4" t="s">
        <v>8</v>
      </c>
      <c r="B9" s="5" t="n">
        <v>325</v>
      </c>
    </row>
    <row r="10" customFormat="false" ht="15" hidden="false" customHeight="false" outlineLevel="0" collapsed="false">
      <c r="A10" s="4" t="s">
        <v>9</v>
      </c>
      <c r="B10" s="5" t="n">
        <v>325</v>
      </c>
    </row>
    <row r="11" customFormat="false" ht="15" hidden="false" customHeight="false" outlineLevel="0" collapsed="false">
      <c r="A11" s="4" t="s">
        <v>10</v>
      </c>
      <c r="B11" s="5" t="n">
        <v>325</v>
      </c>
    </row>
    <row r="12" customFormat="false" ht="15" hidden="false" customHeight="false" outlineLevel="0" collapsed="false">
      <c r="A12" s="4" t="s">
        <v>11</v>
      </c>
      <c r="B12" s="5" t="n">
        <v>325</v>
      </c>
    </row>
    <row r="13" customFormat="false" ht="15" hidden="false" customHeight="false" outlineLevel="0" collapsed="false">
      <c r="A13" s="4" t="s">
        <v>12</v>
      </c>
      <c r="B13" s="5" t="n">
        <v>325</v>
      </c>
    </row>
    <row r="14" customFormat="false" ht="15" hidden="false" customHeight="false" outlineLevel="0" collapsed="false">
      <c r="A14" s="4" t="s">
        <v>13</v>
      </c>
      <c r="B14" s="5" t="n">
        <v>325</v>
      </c>
    </row>
    <row r="15" customFormat="false" ht="15" hidden="false" customHeight="false" outlineLevel="0" collapsed="false">
      <c r="A15" s="4" t="s">
        <v>14</v>
      </c>
      <c r="B15" s="5" t="n">
        <v>325</v>
      </c>
    </row>
    <row r="16" customFormat="false" ht="15" hidden="false" customHeight="false" outlineLevel="0" collapsed="false">
      <c r="A16" s="4" t="s">
        <v>15</v>
      </c>
      <c r="B16" s="5" t="n">
        <v>300</v>
      </c>
    </row>
    <row r="17" customFormat="false" ht="15" hidden="false" customHeight="false" outlineLevel="0" collapsed="false">
      <c r="A17" s="4" t="s">
        <v>16</v>
      </c>
      <c r="B17" s="5" t="n">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46"/>
    <col collapsed="false" customWidth="true" hidden="false" outlineLevel="0" max="16" min="4" style="0" width="12"/>
  </cols>
  <sheetData>
    <row r="1" customFormat="false" ht="17.35" hidden="false" customHeight="false" outlineLevel="0" collapsed="false">
      <c r="A1" s="1" t="s">
        <v>17</v>
      </c>
    </row>
    <row r="2" customFormat="false" ht="15" hidden="false" customHeight="false" outlineLevel="0" collapsed="false">
      <c r="A2" s="2" t="s">
        <v>18</v>
      </c>
    </row>
    <row r="3" customFormat="false" ht="15" hidden="false" customHeight="false" outlineLevel="0" collapsed="false">
      <c r="A3" s="2" t="s">
        <v>19</v>
      </c>
    </row>
    <row r="5" customFormat="false" ht="30" hidden="false" customHeight="true" outlineLevel="0" collapsed="false">
      <c r="A5" s="6" t="s">
        <v>20</v>
      </c>
      <c r="B5" s="6" t="s">
        <v>21</v>
      </c>
      <c r="C5" s="6" t="s">
        <v>22</v>
      </c>
      <c r="D5" s="6" t="s">
        <v>4</v>
      </c>
      <c r="E5" s="6" t="s">
        <v>5</v>
      </c>
      <c r="F5" s="6" t="s">
        <v>6</v>
      </c>
      <c r="G5" s="6" t="s">
        <v>7</v>
      </c>
      <c r="H5" s="6" t="s">
        <v>8</v>
      </c>
      <c r="I5" s="6" t="s">
        <v>9</v>
      </c>
      <c r="J5" s="6" t="s">
        <v>10</v>
      </c>
      <c r="K5" s="6" t="s">
        <v>11</v>
      </c>
      <c r="L5" s="6" t="s">
        <v>12</v>
      </c>
      <c r="M5" s="6" t="s">
        <v>13</v>
      </c>
      <c r="N5" s="6" t="s">
        <v>14</v>
      </c>
      <c r="O5" s="6" t="s">
        <v>15</v>
      </c>
      <c r="P5" s="6" t="s">
        <v>16</v>
      </c>
    </row>
    <row r="6" customFormat="false" ht="15" hidden="false" customHeight="false" outlineLevel="0" collapsed="false">
      <c r="A6" s="7"/>
      <c r="B6" s="7"/>
      <c r="C6" s="8" t="s">
        <v>23</v>
      </c>
      <c r="D6" s="9" t="n">
        <f aca="false">ISPs!$B$5</f>
        <v>375</v>
      </c>
      <c r="E6" s="9" t="n">
        <f aca="false">ISPs!$B$6</f>
        <v>375</v>
      </c>
      <c r="F6" s="9" t="n">
        <f aca="false">ISPs!$B$7</f>
        <v>375</v>
      </c>
      <c r="G6" s="9" t="n">
        <f aca="false">ISPs!$B$8</f>
        <v>375</v>
      </c>
      <c r="H6" s="9" t="n">
        <f aca="false">ISPs!$B$9</f>
        <v>325</v>
      </c>
      <c r="I6" s="9" t="n">
        <f aca="false">ISPs!$B$10</f>
        <v>325</v>
      </c>
      <c r="J6" s="9" t="n">
        <f aca="false">ISPs!$B$11</f>
        <v>325</v>
      </c>
      <c r="K6" s="9" t="n">
        <f aca="false">ISPs!$B$12</f>
        <v>325</v>
      </c>
      <c r="L6" s="9" t="n">
        <f aca="false">ISPs!$B$13</f>
        <v>325</v>
      </c>
      <c r="M6" s="9" t="n">
        <f aca="false">ISPs!$B$14</f>
        <v>325</v>
      </c>
      <c r="N6" s="9" t="n">
        <f aca="false">ISPs!$B$15</f>
        <v>325</v>
      </c>
      <c r="O6" s="9" t="n">
        <f aca="false">ISPs!$B$16</f>
        <v>300</v>
      </c>
      <c r="P6" s="9" t="n">
        <f aca="false">ISPs!$B$17</f>
        <v>300</v>
      </c>
    </row>
    <row r="7" customFormat="false" ht="15" hidden="false" customHeight="false" outlineLevel="0" collapsed="false">
      <c r="A7" s="10" t="s">
        <v>24</v>
      </c>
      <c r="B7" s="5" t="n">
        <v>100</v>
      </c>
      <c r="C7" s="11" t="s">
        <v>25</v>
      </c>
      <c r="D7" s="12" t="n">
        <f aca="false">IF($B7&lt;=D$6-25,$B7,"")</f>
        <v>100</v>
      </c>
      <c r="E7" s="12" t="n">
        <f aca="false">IF($B7&lt;=E$6-25,$B7,"")</f>
        <v>100</v>
      </c>
      <c r="F7" s="12" t="n">
        <f aca="false">IF($B7&lt;=F$6-25,$B7,"")</f>
        <v>100</v>
      </c>
      <c r="G7" s="12" t="n">
        <f aca="false">IF($B7&lt;=G$6-25,$B7,"")</f>
        <v>100</v>
      </c>
      <c r="H7" s="12" t="n">
        <f aca="false">IF($B7&lt;=H$6-25,$B7,"")</f>
        <v>100</v>
      </c>
      <c r="I7" s="12" t="n">
        <f aca="false">IF($B7&lt;=I$6-25,$B7,"")</f>
        <v>100</v>
      </c>
      <c r="J7" s="12" t="n">
        <f aca="false">IF($B7&lt;=J$6-25,$B7,"")</f>
        <v>100</v>
      </c>
      <c r="K7" s="12" t="n">
        <f aca="false">IF($B7&lt;=K$6-25,$B7,"")</f>
        <v>100</v>
      </c>
      <c r="L7" s="12" t="n">
        <f aca="false">IF($B7&lt;=L$6-25,$B7,"")</f>
        <v>100</v>
      </c>
      <c r="M7" s="12" t="n">
        <f aca="false">IF($B7&lt;=M$6-25,$B7,"")</f>
        <v>100</v>
      </c>
      <c r="N7" s="12" t="n">
        <f aca="false">IF($B7&lt;=N$6-25,$B7,"")</f>
        <v>100</v>
      </c>
      <c r="O7" s="12" t="n">
        <f aca="false">IF($B7&lt;=O$6-25,$B7,"")</f>
        <v>100</v>
      </c>
      <c r="P7" s="12" t="n">
        <f aca="false">IF($B7&lt;=P$6-25,$B7,"")</f>
        <v>100</v>
      </c>
    </row>
    <row r="8" customFormat="false" ht="15" hidden="false" customHeight="false" outlineLevel="0" collapsed="false">
      <c r="A8" s="10" t="s">
        <v>26</v>
      </c>
      <c r="B8" s="5" t="n">
        <v>150</v>
      </c>
      <c r="C8" s="11" t="s">
        <v>27</v>
      </c>
      <c r="D8" s="12" t="n">
        <f aca="false">IF($B8&lt;=D$6-25,$B8,"")</f>
        <v>150</v>
      </c>
      <c r="E8" s="12" t="n">
        <f aca="false">IF($B8&lt;=E$6-25,$B8,"")</f>
        <v>150</v>
      </c>
      <c r="F8" s="12" t="n">
        <f aca="false">IF($B8&lt;=F$6-25,$B8,"")</f>
        <v>150</v>
      </c>
      <c r="G8" s="12" t="n">
        <f aca="false">IF($B8&lt;=G$6-25,$B8,"")</f>
        <v>150</v>
      </c>
      <c r="H8" s="12" t="n">
        <f aca="false">IF($B8&lt;=H$6-25,$B8,"")</f>
        <v>150</v>
      </c>
      <c r="I8" s="12" t="n">
        <f aca="false">IF($B8&lt;=I$6-25,$B8,"")</f>
        <v>150</v>
      </c>
      <c r="J8" s="12" t="n">
        <f aca="false">IF($B8&lt;=J$6-25,$B8,"")</f>
        <v>150</v>
      </c>
      <c r="K8" s="12" t="n">
        <f aca="false">IF($B8&lt;=K$6-25,$B8,"")</f>
        <v>150</v>
      </c>
      <c r="L8" s="12" t="n">
        <f aca="false">IF($B8&lt;=L$6-25,$B8,"")</f>
        <v>150</v>
      </c>
      <c r="M8" s="12" t="n">
        <f aca="false">IF($B8&lt;=M$6-25,$B8,"")</f>
        <v>150</v>
      </c>
      <c r="N8" s="12" t="n">
        <f aca="false">IF($B8&lt;=N$6-25,$B8,"")</f>
        <v>150</v>
      </c>
      <c r="O8" s="12" t="n">
        <f aca="false">IF($B8&lt;=O$6-25,$B8,"")</f>
        <v>150</v>
      </c>
      <c r="P8" s="12" t="n">
        <f aca="false">IF($B8&lt;=P$6-25,$B8,"")</f>
        <v>150</v>
      </c>
    </row>
    <row r="9" customFormat="false" ht="15" hidden="false" customHeight="false" outlineLevel="0" collapsed="false">
      <c r="A9" s="10" t="s">
        <v>28</v>
      </c>
      <c r="B9" s="5" t="n">
        <v>200</v>
      </c>
      <c r="C9" s="11" t="s">
        <v>29</v>
      </c>
      <c r="D9" s="12" t="n">
        <f aca="false">IF($B9&lt;=D$6-25,$B9,"")</f>
        <v>200</v>
      </c>
      <c r="E9" s="12" t="n">
        <f aca="false">IF($B9&lt;=E$6-25,$B9,"")</f>
        <v>200</v>
      </c>
      <c r="F9" s="12" t="n">
        <f aca="false">IF($B9&lt;=F$6-25,$B9,"")</f>
        <v>200</v>
      </c>
      <c r="G9" s="12" t="n">
        <f aca="false">IF($B9&lt;=G$6-25,$B9,"")</f>
        <v>200</v>
      </c>
      <c r="H9" s="12" t="n">
        <f aca="false">IF($B9&lt;=H$6-25,$B9,"")</f>
        <v>200</v>
      </c>
      <c r="I9" s="12" t="n">
        <f aca="false">IF($B9&lt;=I$6-25,$B9,"")</f>
        <v>200</v>
      </c>
      <c r="J9" s="12" t="n">
        <f aca="false">IF($B9&lt;=J$6-25,$B9,"")</f>
        <v>200</v>
      </c>
      <c r="K9" s="12" t="n">
        <f aca="false">IF($B9&lt;=K$6-25,$B9,"")</f>
        <v>200</v>
      </c>
      <c r="L9" s="12" t="n">
        <f aca="false">IF($B9&lt;=L$6-25,$B9,"")</f>
        <v>200</v>
      </c>
      <c r="M9" s="12" t="n">
        <f aca="false">IF($B9&lt;=M$6-25,$B9,"")</f>
        <v>200</v>
      </c>
      <c r="N9" s="12" t="n">
        <f aca="false">IF($B9&lt;=N$6-25,$B9,"")</f>
        <v>200</v>
      </c>
      <c r="O9" s="12" t="n">
        <f aca="false">IF($B9&lt;=O$6-25,$B9,"")</f>
        <v>200</v>
      </c>
      <c r="P9" s="12" t="n">
        <f aca="false">IF($B9&lt;=P$6-25,$B9,"")</f>
        <v>200</v>
      </c>
    </row>
    <row r="10" customFormat="false" ht="15" hidden="false" customHeight="false" outlineLevel="0" collapsed="false">
      <c r="A10" s="10" t="s">
        <v>30</v>
      </c>
      <c r="B10" s="5" t="n">
        <v>250</v>
      </c>
      <c r="C10" s="11" t="s">
        <v>31</v>
      </c>
      <c r="D10" s="12" t="n">
        <f aca="false">IF($B10&lt;=D$6-25,$B10,"")</f>
        <v>250</v>
      </c>
      <c r="E10" s="12" t="n">
        <f aca="false">IF($B10&lt;=E$6-25,$B10,"")</f>
        <v>250</v>
      </c>
      <c r="F10" s="12" t="n">
        <f aca="false">IF($B10&lt;=F$6-25,$B10,"")</f>
        <v>250</v>
      </c>
      <c r="G10" s="12" t="n">
        <f aca="false">IF($B10&lt;=G$6-25,$B10,"")</f>
        <v>250</v>
      </c>
      <c r="H10" s="12" t="n">
        <f aca="false">IF($B10&lt;=H$6-25,$B10,"")</f>
        <v>250</v>
      </c>
      <c r="I10" s="12" t="n">
        <f aca="false">IF($B10&lt;=I$6-25,$B10,"")</f>
        <v>250</v>
      </c>
      <c r="J10" s="12" t="n">
        <f aca="false">IF($B10&lt;=J$6-25,$B10,"")</f>
        <v>250</v>
      </c>
      <c r="K10" s="12" t="n">
        <f aca="false">IF($B10&lt;=K$6-25,$B10,"")</f>
        <v>250</v>
      </c>
      <c r="L10" s="12" t="n">
        <f aca="false">IF($B10&lt;=L$6-25,$B10,"")</f>
        <v>250</v>
      </c>
      <c r="M10" s="12" t="n">
        <f aca="false">IF($B10&lt;=M$6-25,$B10,"")</f>
        <v>250</v>
      </c>
      <c r="N10" s="12" t="n">
        <f aca="false">IF($B10&lt;=N$6-25,$B10,"")</f>
        <v>250</v>
      </c>
      <c r="O10" s="12" t="n">
        <f aca="false">IF($B10&lt;=O$6-25,$B10,"")</f>
        <v>250</v>
      </c>
      <c r="P10" s="12" t="n">
        <f aca="false">IF($B10&lt;=P$6-25,$B10,"")</f>
        <v>250</v>
      </c>
    </row>
    <row r="11" customFormat="false" ht="15" hidden="false" customHeight="false" outlineLevel="0" collapsed="false">
      <c r="A11" s="13" t="s">
        <v>32</v>
      </c>
      <c r="B11" s="14" t="n">
        <v>300</v>
      </c>
      <c r="C11" s="15" t="s">
        <v>33</v>
      </c>
      <c r="D11" s="16" t="n">
        <f aca="false">IF($B11&lt;=D$6-25,$B11,"")</f>
        <v>300</v>
      </c>
      <c r="E11" s="16" t="n">
        <f aca="false">IF($B11&lt;=E$6-25,$B11,"")</f>
        <v>300</v>
      </c>
      <c r="F11" s="16" t="n">
        <f aca="false">IF($B11&lt;=F$6-25,$B11,"")</f>
        <v>300</v>
      </c>
      <c r="G11" s="16" t="n">
        <f aca="false">IF($B11&lt;=G$6-25,$B11,"")</f>
        <v>300</v>
      </c>
      <c r="H11" s="16" t="n">
        <f aca="false">IF($B11&lt;=H$6-25,$B11,"")</f>
        <v>300</v>
      </c>
      <c r="I11" s="16" t="n">
        <f aca="false">IF($B11&lt;=I$6-25,$B11,"")</f>
        <v>300</v>
      </c>
      <c r="J11" s="16" t="n">
        <f aca="false">IF($B11&lt;=J$6-25,$B11,"")</f>
        <v>300</v>
      </c>
      <c r="K11" s="16" t="n">
        <f aca="false">IF($B11&lt;=K$6-25,$B11,"")</f>
        <v>300</v>
      </c>
      <c r="L11" s="16" t="n">
        <f aca="false">IF($B11&lt;=L$6-25,$B11,"")</f>
        <v>300</v>
      </c>
      <c r="M11" s="16" t="n">
        <f aca="false">IF($B11&lt;=M$6-25,$B11,"")</f>
        <v>300</v>
      </c>
      <c r="N11" s="16" t="n">
        <f aca="false">IF($B11&lt;=N$6-25,$B11,"")</f>
        <v>300</v>
      </c>
      <c r="O11" s="16" t="str">
        <f aca="false">IF($B11&lt;=O$6-25,$B11,"")</f>
        <v/>
      </c>
      <c r="P11" s="16" t="str">
        <f aca="false">IF($B11&lt;=P$6-25,$B11,"")</f>
        <v/>
      </c>
    </row>
    <row r="12" customFormat="false" ht="15" hidden="false" customHeight="false" outlineLevel="0" collapsed="false">
      <c r="A12" s="13" t="s">
        <v>34</v>
      </c>
      <c r="B12" s="14" t="n">
        <v>350</v>
      </c>
      <c r="C12" s="15" t="s">
        <v>35</v>
      </c>
      <c r="D12" s="16" t="n">
        <f aca="false">IF($B12&lt;=D$6-25,$B12,"")</f>
        <v>350</v>
      </c>
      <c r="E12" s="16" t="n">
        <f aca="false">IF($B12&lt;=E$6-25,$B12,"")</f>
        <v>350</v>
      </c>
      <c r="F12" s="16" t="n">
        <f aca="false">IF($B12&lt;=F$6-25,$B12,"")</f>
        <v>350</v>
      </c>
      <c r="G12" s="16" t="n">
        <f aca="false">IF($B12&lt;=G$6-25,$B12,"")</f>
        <v>350</v>
      </c>
      <c r="H12" s="16" t="str">
        <f aca="false">IF($B12&lt;=H$6-25,$B12,"")</f>
        <v/>
      </c>
      <c r="I12" s="16" t="str">
        <f aca="false">IF($B12&lt;=I$6-25,$B12,"")</f>
        <v/>
      </c>
      <c r="J12" s="16" t="str">
        <f aca="false">IF($B12&lt;=J$6-25,$B12,"")</f>
        <v/>
      </c>
      <c r="K12" s="16" t="str">
        <f aca="false">IF($B12&lt;=K$6-25,$B12,"")</f>
        <v/>
      </c>
      <c r="L12" s="16" t="str">
        <f aca="false">IF($B12&lt;=L$6-25,$B12,"")</f>
        <v/>
      </c>
      <c r="M12" s="16" t="str">
        <f aca="false">IF($B12&lt;=M$6-25,$B12,"")</f>
        <v/>
      </c>
      <c r="N12" s="16" t="str">
        <f aca="false">IF($B12&lt;=N$6-25,$B12,"")</f>
        <v/>
      </c>
      <c r="O12" s="16" t="str">
        <f aca="false">IF($B12&lt;=O$6-25,$B12,"")</f>
        <v/>
      </c>
      <c r="P12" s="16" t="str">
        <f aca="false">IF($B12&lt;=P$6-25,$B12,"")</f>
        <v/>
      </c>
    </row>
    <row r="13" customFormat="false" ht="15" hidden="false" customHeight="false" outlineLevel="0" collapsed="false">
      <c r="A13" s="13" t="s">
        <v>36</v>
      </c>
      <c r="B13" s="14" t="n">
        <v>375</v>
      </c>
      <c r="C13" s="15" t="s">
        <v>37</v>
      </c>
      <c r="D13" s="16" t="n">
        <f aca="false">D$6</f>
        <v>375</v>
      </c>
      <c r="E13" s="16" t="n">
        <f aca="false">E$6</f>
        <v>375</v>
      </c>
      <c r="F13" s="16" t="n">
        <f aca="false">F$6</f>
        <v>375</v>
      </c>
      <c r="G13" s="16" t="n">
        <f aca="false">G$6</f>
        <v>375</v>
      </c>
      <c r="H13" s="16" t="n">
        <f aca="false">H$6</f>
        <v>325</v>
      </c>
      <c r="I13" s="16" t="n">
        <f aca="false">I$6</f>
        <v>325</v>
      </c>
      <c r="J13" s="16" t="n">
        <f aca="false">J$6</f>
        <v>325</v>
      </c>
      <c r="K13" s="16" t="n">
        <f aca="false">K$6</f>
        <v>325</v>
      </c>
      <c r="L13" s="16" t="n">
        <f aca="false">L$6</f>
        <v>325</v>
      </c>
      <c r="M13" s="16" t="n">
        <f aca="false">M$6</f>
        <v>325</v>
      </c>
      <c r="N13" s="16" t="n">
        <f aca="false">N$6</f>
        <v>325</v>
      </c>
      <c r="O13" s="16" t="n">
        <f aca="false">O$6</f>
        <v>300</v>
      </c>
      <c r="P13" s="16" t="n">
        <f aca="false">P$6</f>
        <v>300</v>
      </c>
    </row>
    <row r="15" customFormat="false" ht="15" hidden="false" customHeight="false" outlineLevel="0" collapsed="false">
      <c r="A15" s="2" t="s">
        <v>38</v>
      </c>
    </row>
    <row r="16" customFormat="false" ht="15" hidden="false" customHeight="false" outlineLevel="0" collapsed="false">
      <c r="A16"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46"/>
    <col collapsed="false" customWidth="true" hidden="false" outlineLevel="0" max="16" min="4" style="0" width="12"/>
  </cols>
  <sheetData>
    <row r="1" customFormat="false" ht="17.35" hidden="false" customHeight="false" outlineLevel="0" collapsed="false">
      <c r="A1" s="1" t="s">
        <v>40</v>
      </c>
    </row>
    <row r="2" customFormat="false" ht="15" hidden="false" customHeight="false" outlineLevel="0" collapsed="false">
      <c r="A2" s="2" t="s">
        <v>41</v>
      </c>
    </row>
    <row r="3" customFormat="false" ht="15" hidden="false" customHeight="false" outlineLevel="0" collapsed="false">
      <c r="A3" s="2" t="s">
        <v>19</v>
      </c>
    </row>
    <row r="5" customFormat="false" ht="30" hidden="false" customHeight="true" outlineLevel="0" collapsed="false">
      <c r="A5" s="6" t="s">
        <v>20</v>
      </c>
      <c r="B5" s="6" t="s">
        <v>21</v>
      </c>
      <c r="C5" s="6" t="s">
        <v>22</v>
      </c>
      <c r="D5" s="6" t="s">
        <v>4</v>
      </c>
      <c r="E5" s="6" t="s">
        <v>5</v>
      </c>
      <c r="F5" s="6" t="s">
        <v>6</v>
      </c>
      <c r="G5" s="6" t="s">
        <v>7</v>
      </c>
      <c r="H5" s="6" t="s">
        <v>8</v>
      </c>
      <c r="I5" s="6" t="s">
        <v>9</v>
      </c>
      <c r="J5" s="6" t="s">
        <v>10</v>
      </c>
      <c r="K5" s="6" t="s">
        <v>11</v>
      </c>
      <c r="L5" s="6" t="s">
        <v>12</v>
      </c>
      <c r="M5" s="6" t="s">
        <v>13</v>
      </c>
      <c r="N5" s="6" t="s">
        <v>14</v>
      </c>
      <c r="O5" s="6" t="s">
        <v>15</v>
      </c>
      <c r="P5" s="6" t="s">
        <v>16</v>
      </c>
    </row>
    <row r="6" customFormat="false" ht="15" hidden="false" customHeight="false" outlineLevel="0" collapsed="false">
      <c r="A6" s="7"/>
      <c r="B6" s="7"/>
      <c r="C6" s="8" t="s">
        <v>23</v>
      </c>
      <c r="D6" s="9" t="n">
        <f aca="false">ISPs!$B$5</f>
        <v>375</v>
      </c>
      <c r="E6" s="9" t="n">
        <f aca="false">ISPs!$B$6</f>
        <v>375</v>
      </c>
      <c r="F6" s="9" t="n">
        <f aca="false">ISPs!$B$7</f>
        <v>375</v>
      </c>
      <c r="G6" s="9" t="n">
        <f aca="false">ISPs!$B$8</f>
        <v>375</v>
      </c>
      <c r="H6" s="9" t="n">
        <f aca="false">ISPs!$B$9</f>
        <v>325</v>
      </c>
      <c r="I6" s="9" t="n">
        <f aca="false">ISPs!$B$10</f>
        <v>325</v>
      </c>
      <c r="J6" s="9" t="n">
        <f aca="false">ISPs!$B$11</f>
        <v>325</v>
      </c>
      <c r="K6" s="9" t="n">
        <f aca="false">ISPs!$B$12</f>
        <v>325</v>
      </c>
      <c r="L6" s="9" t="n">
        <f aca="false">ISPs!$B$13</f>
        <v>325</v>
      </c>
      <c r="M6" s="9" t="n">
        <f aca="false">ISPs!$B$14</f>
        <v>325</v>
      </c>
      <c r="N6" s="9" t="n">
        <f aca="false">ISPs!$B$15</f>
        <v>325</v>
      </c>
      <c r="O6" s="9" t="n">
        <f aca="false">ISPs!$B$16</f>
        <v>300</v>
      </c>
      <c r="P6" s="9" t="n">
        <f aca="false">ISPs!$B$17</f>
        <v>300</v>
      </c>
    </row>
    <row r="7" customFormat="false" ht="23.85" hidden="false" customHeight="false" outlineLevel="0" collapsed="false">
      <c r="A7" s="10" t="s">
        <v>24</v>
      </c>
      <c r="B7" s="5" t="n">
        <v>200</v>
      </c>
      <c r="C7" s="11" t="s">
        <v>42</v>
      </c>
      <c r="D7" s="12" t="n">
        <f aca="false">IF($B7&lt;=D$6-25,$B7,"")</f>
        <v>200</v>
      </c>
      <c r="E7" s="12" t="n">
        <f aca="false">IF($B7&lt;=E$6-25,$B7,"")</f>
        <v>200</v>
      </c>
      <c r="F7" s="12" t="n">
        <f aca="false">IF($B7&lt;=F$6-25,$B7,"")</f>
        <v>200</v>
      </c>
      <c r="G7" s="12" t="n">
        <f aca="false">IF($B7&lt;=G$6-25,$B7,"")</f>
        <v>200</v>
      </c>
      <c r="H7" s="12" t="n">
        <f aca="false">IF($B7&lt;=H$6-25,$B7,"")</f>
        <v>200</v>
      </c>
      <c r="I7" s="12" t="n">
        <f aca="false">IF($B7&lt;=I$6-25,$B7,"")</f>
        <v>200</v>
      </c>
      <c r="J7" s="12" t="n">
        <f aca="false">IF($B7&lt;=J$6-25,$B7,"")</f>
        <v>200</v>
      </c>
      <c r="K7" s="12" t="n">
        <f aca="false">IF($B7&lt;=K$6-25,$B7,"")</f>
        <v>200</v>
      </c>
      <c r="L7" s="12" t="n">
        <f aca="false">IF($B7&lt;=L$6-25,$B7,"")</f>
        <v>200</v>
      </c>
      <c r="M7" s="12" t="n">
        <f aca="false">IF($B7&lt;=M$6-25,$B7,"")</f>
        <v>200</v>
      </c>
      <c r="N7" s="12" t="n">
        <f aca="false">IF($B7&lt;=N$6-25,$B7,"")</f>
        <v>200</v>
      </c>
      <c r="O7" s="12" t="n">
        <f aca="false">IF($B7&lt;=O$6-25,$B7,"")</f>
        <v>200</v>
      </c>
      <c r="P7" s="12" t="n">
        <f aca="false">IF($B7&lt;=P$6-25,$B7,"")</f>
        <v>200</v>
      </c>
    </row>
    <row r="8" customFormat="false" ht="15" hidden="false" customHeight="false" outlineLevel="0" collapsed="false">
      <c r="A8" s="10" t="s">
        <v>26</v>
      </c>
      <c r="B8" s="5" t="n">
        <v>250</v>
      </c>
      <c r="C8" s="11" t="s">
        <v>29</v>
      </c>
      <c r="D8" s="12" t="n">
        <f aca="false">IF($B8&lt;=D$6-25,$B8,"")</f>
        <v>250</v>
      </c>
      <c r="E8" s="12" t="n">
        <f aca="false">IF($B8&lt;=E$6-25,$B8,"")</f>
        <v>250</v>
      </c>
      <c r="F8" s="12" t="n">
        <f aca="false">IF($B8&lt;=F$6-25,$B8,"")</f>
        <v>250</v>
      </c>
      <c r="G8" s="12" t="n">
        <f aca="false">IF($B8&lt;=G$6-25,$B8,"")</f>
        <v>250</v>
      </c>
      <c r="H8" s="12" t="n">
        <f aca="false">IF($B8&lt;=H$6-25,$B8,"")</f>
        <v>250</v>
      </c>
      <c r="I8" s="12" t="n">
        <f aca="false">IF($B8&lt;=I$6-25,$B8,"")</f>
        <v>250</v>
      </c>
      <c r="J8" s="12" t="n">
        <f aca="false">IF($B8&lt;=J$6-25,$B8,"")</f>
        <v>250</v>
      </c>
      <c r="K8" s="12" t="n">
        <f aca="false">IF($B8&lt;=K$6-25,$B8,"")</f>
        <v>250</v>
      </c>
      <c r="L8" s="12" t="n">
        <f aca="false">IF($B8&lt;=L$6-25,$B8,"")</f>
        <v>250</v>
      </c>
      <c r="M8" s="12" t="n">
        <f aca="false">IF($B8&lt;=M$6-25,$B8,"")</f>
        <v>250</v>
      </c>
      <c r="N8" s="12" t="n">
        <f aca="false">IF($B8&lt;=N$6-25,$B8,"")</f>
        <v>250</v>
      </c>
      <c r="O8" s="12" t="n">
        <f aca="false">IF($B8&lt;=O$6-25,$B8,"")</f>
        <v>250</v>
      </c>
      <c r="P8" s="12" t="n">
        <f aca="false">IF($B8&lt;=P$6-25,$B8,"")</f>
        <v>250</v>
      </c>
    </row>
    <row r="9" customFormat="false" ht="15" hidden="false" customHeight="false" outlineLevel="0" collapsed="false">
      <c r="A9" s="13" t="s">
        <v>28</v>
      </c>
      <c r="B9" s="14" t="n">
        <v>300</v>
      </c>
      <c r="C9" s="15" t="s">
        <v>33</v>
      </c>
      <c r="D9" s="16" t="n">
        <f aca="false">IF($B9&lt;=D$6-25,$B9,"")</f>
        <v>300</v>
      </c>
      <c r="E9" s="16" t="n">
        <f aca="false">IF($B9&lt;=E$6-25,$B9,"")</f>
        <v>300</v>
      </c>
      <c r="F9" s="16" t="n">
        <f aca="false">IF($B9&lt;=F$6-25,$B9,"")</f>
        <v>300</v>
      </c>
      <c r="G9" s="16" t="n">
        <f aca="false">IF($B9&lt;=G$6-25,$B9,"")</f>
        <v>300</v>
      </c>
      <c r="H9" s="16" t="n">
        <f aca="false">IF($B9&lt;=H$6-25,$B9,"")</f>
        <v>300</v>
      </c>
      <c r="I9" s="16" t="n">
        <f aca="false">IF($B9&lt;=I$6-25,$B9,"")</f>
        <v>300</v>
      </c>
      <c r="J9" s="16" t="n">
        <f aca="false">IF($B9&lt;=J$6-25,$B9,"")</f>
        <v>300</v>
      </c>
      <c r="K9" s="16" t="n">
        <f aca="false">IF($B9&lt;=K$6-25,$B9,"")</f>
        <v>300</v>
      </c>
      <c r="L9" s="16" t="n">
        <f aca="false">IF($B9&lt;=L$6-25,$B9,"")</f>
        <v>300</v>
      </c>
      <c r="M9" s="16" t="n">
        <f aca="false">IF($B9&lt;=M$6-25,$B9,"")</f>
        <v>300</v>
      </c>
      <c r="N9" s="16" t="n">
        <f aca="false">IF($B9&lt;=N$6-25,$B9,"")</f>
        <v>300</v>
      </c>
      <c r="O9" s="16" t="str">
        <f aca="false">IF($B9&lt;=O$6-25,$B9,"")</f>
        <v/>
      </c>
      <c r="P9" s="16" t="str">
        <f aca="false">IF($B9&lt;=P$6-25,$B9,"")</f>
        <v/>
      </c>
    </row>
    <row r="10" customFormat="false" ht="15" hidden="false" customHeight="false" outlineLevel="0" collapsed="false">
      <c r="A10" s="13" t="s">
        <v>30</v>
      </c>
      <c r="B10" s="14" t="n">
        <v>350</v>
      </c>
      <c r="C10" s="15" t="s">
        <v>35</v>
      </c>
      <c r="D10" s="16" t="n">
        <f aca="false">IF($B10&lt;=D$6-25,$B10,"")</f>
        <v>350</v>
      </c>
      <c r="E10" s="16" t="n">
        <f aca="false">IF($B10&lt;=E$6-25,$B10,"")</f>
        <v>350</v>
      </c>
      <c r="F10" s="16" t="n">
        <f aca="false">IF($B10&lt;=F$6-25,$B10,"")</f>
        <v>350</v>
      </c>
      <c r="G10" s="16" t="n">
        <f aca="false">IF($B10&lt;=G$6-25,$B10,"")</f>
        <v>350</v>
      </c>
      <c r="H10" s="16" t="str">
        <f aca="false">IF($B10&lt;=H$6-25,$B10,"")</f>
        <v/>
      </c>
      <c r="I10" s="16" t="str">
        <f aca="false">IF($B10&lt;=I$6-25,$B10,"")</f>
        <v/>
      </c>
      <c r="J10" s="16" t="str">
        <f aca="false">IF($B10&lt;=J$6-25,$B10,"")</f>
        <v/>
      </c>
      <c r="K10" s="16" t="str">
        <f aca="false">IF($B10&lt;=K$6-25,$B10,"")</f>
        <v/>
      </c>
      <c r="L10" s="16" t="str">
        <f aca="false">IF($B10&lt;=L$6-25,$B10,"")</f>
        <v/>
      </c>
      <c r="M10" s="16" t="str">
        <f aca="false">IF($B10&lt;=M$6-25,$B10,"")</f>
        <v/>
      </c>
      <c r="N10" s="16" t="str">
        <f aca="false">IF($B10&lt;=N$6-25,$B10,"")</f>
        <v/>
      </c>
      <c r="O10" s="16" t="str">
        <f aca="false">IF($B10&lt;=O$6-25,$B10,"")</f>
        <v/>
      </c>
      <c r="P10" s="16" t="str">
        <f aca="false">IF($B10&lt;=P$6-25,$B10,"")</f>
        <v/>
      </c>
    </row>
    <row r="11" customFormat="false" ht="15" hidden="false" customHeight="false" outlineLevel="0" collapsed="false">
      <c r="A11" s="13" t="s">
        <v>32</v>
      </c>
      <c r="B11" s="14" t="n">
        <v>375</v>
      </c>
      <c r="C11" s="15" t="s">
        <v>37</v>
      </c>
      <c r="D11" s="16" t="n">
        <f aca="false">D$6</f>
        <v>375</v>
      </c>
      <c r="E11" s="16" t="n">
        <f aca="false">E$6</f>
        <v>375</v>
      </c>
      <c r="F11" s="16" t="n">
        <f aca="false">F$6</f>
        <v>375</v>
      </c>
      <c r="G11" s="16" t="n">
        <f aca="false">G$6</f>
        <v>375</v>
      </c>
      <c r="H11" s="16" t="n">
        <f aca="false">H$6</f>
        <v>325</v>
      </c>
      <c r="I11" s="16" t="n">
        <f aca="false">I$6</f>
        <v>325</v>
      </c>
      <c r="J11" s="16" t="n">
        <f aca="false">J$6</f>
        <v>325</v>
      </c>
      <c r="K11" s="16" t="n">
        <f aca="false">K$6</f>
        <v>325</v>
      </c>
      <c r="L11" s="16" t="n">
        <f aca="false">L$6</f>
        <v>325</v>
      </c>
      <c r="M11" s="16" t="n">
        <f aca="false">M$6</f>
        <v>325</v>
      </c>
      <c r="N11" s="16" t="n">
        <f aca="false">N$6</f>
        <v>325</v>
      </c>
      <c r="O11" s="16" t="n">
        <f aca="false">O$6</f>
        <v>300</v>
      </c>
      <c r="P11" s="16" t="n">
        <f aca="false">P$6</f>
        <v>300</v>
      </c>
    </row>
    <row r="13" customFormat="false" ht="15" hidden="false" customHeight="false" outlineLevel="0" collapsed="false">
      <c r="A13" s="2" t="s">
        <v>38</v>
      </c>
    </row>
    <row r="14" customFormat="false" ht="15" hidden="false" customHeight="false" outlineLevel="0" collapsed="false">
      <c r="A14" s="2"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7.35" hidden="false" customHeight="false" outlineLevel="0" collapsed="false">
      <c r="A1" s="1" t="s">
        <v>43</v>
      </c>
    </row>
    <row r="3" customFormat="false" ht="15" hidden="false" customHeight="false" outlineLevel="0" collapsed="false">
      <c r="A3" s="3" t="s">
        <v>44</v>
      </c>
      <c r="B3" s="3" t="s">
        <v>45</v>
      </c>
    </row>
    <row r="4" customFormat="false" ht="15" hidden="false" customHeight="false" outlineLevel="0" collapsed="false">
      <c r="A4" s="10" t="s">
        <v>46</v>
      </c>
      <c r="B4" s="11" t="s">
        <v>47</v>
      </c>
    </row>
    <row r="5" customFormat="false" ht="15" hidden="false" customHeight="false" outlineLevel="0" collapsed="false">
      <c r="A5" s="10" t="s">
        <v>48</v>
      </c>
      <c r="B5" s="11" t="s">
        <v>49</v>
      </c>
    </row>
    <row r="6" customFormat="false" ht="23.85" hidden="false" customHeight="false" outlineLevel="0" collapsed="false">
      <c r="A6" s="10" t="s">
        <v>50</v>
      </c>
      <c r="B6" s="11" t="s">
        <v>51</v>
      </c>
    </row>
    <row r="7" customFormat="false" ht="23.85" hidden="false" customHeight="false" outlineLevel="0" collapsed="false">
      <c r="A7" s="10" t="s">
        <v>3</v>
      </c>
      <c r="B7" s="11" t="s">
        <v>52</v>
      </c>
    </row>
    <row r="8" customFormat="false" ht="15" hidden="false" customHeight="false" outlineLevel="0" collapsed="false">
      <c r="A8" s="10" t="s">
        <v>53</v>
      </c>
      <c r="B8" s="11" t="s">
        <v>54</v>
      </c>
    </row>
    <row r="9" customFormat="false" ht="15" hidden="false" customHeight="false" outlineLevel="0" collapsed="false">
      <c r="A9" s="10" t="s">
        <v>55</v>
      </c>
      <c r="B9" s="11" t="s">
        <v>56</v>
      </c>
    </row>
    <row r="10" customFormat="false" ht="23.85" hidden="false" customHeight="false" outlineLevel="0" collapsed="false">
      <c r="A10" s="10" t="s">
        <v>57</v>
      </c>
      <c r="B10" s="11" t="s">
        <v>58</v>
      </c>
    </row>
    <row r="11" customFormat="false" ht="15" hidden="false" customHeight="false" outlineLevel="0" collapsed="false">
      <c r="A11" s="10" t="s">
        <v>59</v>
      </c>
      <c r="B11" s="11" t="s">
        <v>60</v>
      </c>
    </row>
    <row r="12" customFormat="false" ht="15" hidden="false" customHeight="false" outlineLevel="0" collapsed="false">
      <c r="A12" s="10" t="s">
        <v>61</v>
      </c>
      <c r="B12" s="11" t="s">
        <v>62</v>
      </c>
    </row>
    <row r="13" customFormat="false" ht="15" hidden="false" customHeight="false" outlineLevel="0" collapsed="false">
      <c r="A13" s="10" t="s">
        <v>63</v>
      </c>
      <c r="B13" s="11" t="s">
        <v>64</v>
      </c>
    </row>
    <row r="14" customFormat="false" ht="15" hidden="false" customHeight="false" outlineLevel="0" collapsed="false">
      <c r="A14" s="10" t="s">
        <v>65</v>
      </c>
      <c r="B14" s="11"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2026-08-26T00:48:59Z</dcterms:created>
  <dc:creator>openpyxl</dc:creator>
  <dc:description/>
  <dc:language>en-US</dc:language>
  <cp:lastModifiedBy/>
  <dcterms:modified xsi:type="dcterms:W3CDTF">2026-08-26T00:48:59Z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